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0822139-E6F4-8844-91CA-1BE8240E19FF}" xr6:coauthVersionLast="47" xr6:coauthVersionMax="47" xr10:uidLastSave="{00000000-0000-0000-0000-000000000000}"/>
  <bookViews>
    <workbookView xWindow="-108" yWindow="-108" windowWidth="23256" windowHeight="13176" xr2:uid="{8F47F286-0DA9-41C6-B8A8-F2A7CF5E4950}"/>
  </bookViews>
  <sheets>
    <sheet name="Explain" sheetId="2" r:id="rId1"/>
    <sheet name="Example" sheetId="3" r:id="rId2"/>
    <sheet name="PRIN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4" l="1"/>
  <c r="I12" i="4"/>
  <c r="G12" i="4"/>
  <c r="E12" i="4"/>
  <c r="C12" i="4"/>
  <c r="J15" i="4"/>
</calcChain>
</file>

<file path=xl/sharedStrings.xml><?xml version="1.0" encoding="utf-8"?>
<sst xmlns="http://schemas.openxmlformats.org/spreadsheetml/2006/main" count="181" uniqueCount="114">
  <si>
    <t>Format Pembagian Nilai Lomba Baca Mazmur (01–99)</t>
  </si>
  <si>
    <t>Interpretasi</t>
  </si>
  <si>
    <t>Penghayatan</t>
  </si>
  <si>
    <t>Artikulasi</t>
  </si>
  <si>
    <t>Penampilan</t>
  </si>
  <si>
    <t>Rentang Nilai dan Kriteria</t>
  </si>
  <si>
    <t>Kriteria</t>
  </si>
  <si>
    <t>Range Nilai</t>
  </si>
  <si>
    <t>Deskripsi Umum</t>
  </si>
  <si>
    <t>Kurang</t>
  </si>
  <si>
    <t>01–49</t>
  </si>
  <si>
    <t>Pembacaan belum terarah, banyak kesalahan teknis dan penghayatan kurang terlihat</t>
  </si>
  <si>
    <t>Cukup</t>
  </si>
  <si>
    <t>50–69</t>
  </si>
  <si>
    <t>Pembacaan cukup baik namun masih kurang konsisten dalam beberapa aspek</t>
  </si>
  <si>
    <t>Baik</t>
  </si>
  <si>
    <t>Pembacaan jelas, teratur, penghayatan dan teknik sudah terlihat baik</t>
  </si>
  <si>
    <t>Sangat Baik</t>
  </si>
  <si>
    <t>Pembacaan sangat kuat, ekspresif, rapi, menguasai teks dan membangun suasana</t>
  </si>
  <si>
    <t>Kemampuan memahami isi Mazmur, penekanan makna, dinamika, dan alur pembacaan.</t>
  </si>
  <si>
    <t>Penekanan makna tidak tepat, tempo dan dinamika datar</t>
  </si>
  <si>
    <t>Sudah ada usaha memahami isi namun transisi kurang halus</t>
  </si>
  <si>
    <t>Penafsiran isi jelas, dinamika mulai terasa</t>
  </si>
  <si>
    <t>Makna tersampaikan kuat, penekanan emosional sangat tepat dan menyentuh</t>
  </si>
  <si>
    <t>Kemampuan membangun emosi dan suasana sesuai isi Mazmur.</t>
  </si>
  <si>
    <t>Ekspresi kurang hidup dan tidak menyatu dengan isi bacaan</t>
  </si>
  <si>
    <t>Penghayatan mulai terlihat namun belum stabil</t>
  </si>
  <si>
    <t>Emosi dan ekspresi mendukung isi Mazmur</t>
  </si>
  <si>
    <t>Sangat menjiwai, mampu membawa pendengar masuk dalam suasana Mazmur</t>
  </si>
  <si>
    <t>Kejelasan pengucapan, intonasi, pernapasan, dan vokal.</t>
  </si>
  <si>
    <t>Banyak kata tidak jelas, tempo tidak teratur</t>
  </si>
  <si>
    <t>Pengucapan cukup jelas namun masih ada bagian kurang tegas</t>
  </si>
  <si>
    <t>Pengucapan jelas, intonasi baik, pernapasan cukup terkontrol</t>
  </si>
  <si>
    <t>Sangat jelas, vokal kuat, intonasi hidup dan nyaman didengar</t>
  </si>
  <si>
    <t>Sikap, kepercayaan diri, etika panggung, dan keserasian pembawaan.</t>
  </si>
  <si>
    <t>Terlihat gugup, sikap kurang siap</t>
  </si>
  <si>
    <t>Penampilan cukup rapi namun masih kurang percaya diri</t>
  </si>
  <si>
    <t>Sikap baik, percaya diri, dan rapi</t>
  </si>
  <si>
    <t>Sangat meyakinkan, tenang, berwibawa, dan menarik perhatian audiens</t>
  </si>
  <si>
    <t>Nilai</t>
  </si>
  <si>
    <t>Interpretasi :</t>
  </si>
  <si>
    <t>Penghayatan :</t>
  </si>
  <si>
    <t>Artikulasi :</t>
  </si>
  <si>
    <t>Penampilan :</t>
  </si>
  <si>
    <t>Kekompakkan</t>
  </si>
  <si>
    <t>90–99</t>
  </si>
  <si>
    <t>70–89</t>
  </si>
  <si>
    <t xml:space="preserve">Keterangan </t>
  </si>
  <si>
    <t>Range Nilai awal sesuai kesepakatan dewan juri</t>
  </si>
  <si>
    <t>I</t>
  </si>
  <si>
    <t>II</t>
  </si>
  <si>
    <t>Keseragaman tempo pembacaan</t>
  </si>
  <si>
    <t>Keseragaman tempo pembacaan, Keselarasan masuk, Kesamaan intonasi dan dinamika,Sinkronisasi ekspresi dan penghayatan</t>
  </si>
  <si>
    <t>FORMAT PENILAIAN LOMBA BACA MAZMUR BEREGU</t>
  </si>
  <si>
    <t>A. ASPEK, DETAIL PENILAIAN &amp; SKOR PENILAIAN</t>
  </si>
  <si>
    <t>No</t>
  </si>
  <si>
    <t>KEKOMPAKAN</t>
  </si>
  <si>
    <t>30%</t>
  </si>
  <si>
    <t>INTERPRETASI</t>
  </si>
  <si>
    <t>20%</t>
  </si>
  <si>
    <t>PENGHAYATAN</t>
  </si>
  <si>
    <t>25%</t>
  </si>
  <si>
    <t>ARTIKULASI</t>
  </si>
  <si>
    <t xml:space="preserve"> PENAMPILAN </t>
  </si>
  <si>
    <t>5%</t>
  </si>
  <si>
    <t>Indikator :</t>
  </si>
  <si>
    <t>Pemahaman isi dan tema Mazmur</t>
  </si>
  <si>
    <t>Emosi sesuai suasana, jenis mazmur</t>
  </si>
  <si>
    <t>Kejelasan pengucapan kata</t>
  </si>
  <si>
    <t>Sikap tubuh dan postur</t>
  </si>
  <si>
    <t>Keselarasan masuk</t>
  </si>
  <si>
    <t>Penekanan pada kata penting</t>
  </si>
  <si>
    <t>Ekspresi, mimik wajah sesuai dengan teks</t>
  </si>
  <si>
    <t>Pelafalan yang tepat</t>
  </si>
  <si>
    <t>Kepercayaan diri</t>
  </si>
  <si>
    <t>Kesamaan intonasi dan dinamika</t>
  </si>
  <si>
    <t>Kesesuaian intonasi dengan makna</t>
  </si>
  <si>
    <t>Intonasi, ketepatan naik-turun suara</t>
  </si>
  <si>
    <t>Volume suara seimbang antar peserta</t>
  </si>
  <si>
    <t>Kontak mata (jemaat &amp; antar anggota)</t>
  </si>
  <si>
    <t>Sinkronisasi ekspresi dan penghayatan</t>
  </si>
  <si>
    <t>Alur pembacaan jelas dan menyatu</t>
  </si>
  <si>
    <t>irama, tempo, jeda dan ritme pembacaan</t>
  </si>
  <si>
    <t>Tempo pembacaan stabil</t>
  </si>
  <si>
    <t>Gesture yang selaras</t>
  </si>
  <si>
    <t>Tidak saling mendahului/tertinggal</t>
  </si>
  <si>
    <t>Ketepatan menyampaikan suasana teks</t>
  </si>
  <si>
    <t>Kelancaran (tidak terbata-bata)</t>
  </si>
  <si>
    <t>Kerapian dan keserasian penampilan</t>
  </si>
  <si>
    <t>NILAI MURNI</t>
  </si>
  <si>
    <t>NILAI MURNI X PROSENTASI</t>
  </si>
  <si>
    <t>90 X 30% =27</t>
  </si>
  <si>
    <t>95 X 20% = 19</t>
  </si>
  <si>
    <t>95 X 5% = 4,75</t>
  </si>
  <si>
    <t>B. SKALA PENILAIAN</t>
  </si>
  <si>
    <t>Sanga Baik/Kompak dan Menyatu</t>
  </si>
  <si>
    <t>85-99</t>
  </si>
  <si>
    <t>Baik / Kompak</t>
  </si>
  <si>
    <t>70-84</t>
  </si>
  <si>
    <t>50-69</t>
  </si>
  <si>
    <t>Kurang / Kurang kompak</t>
  </si>
  <si>
    <t>1-49</t>
  </si>
  <si>
    <t>Catatan Juri:</t>
  </si>
  <si>
    <t>1.</t>
  </si>
  <si>
    <t>NILAI</t>
  </si>
  <si>
    <t>2.</t>
  </si>
  <si>
    <t>3.</t>
  </si>
  <si>
    <t>JURI :</t>
  </si>
  <si>
    <t>Cukup Baik / Kompak</t>
  </si>
  <si>
    <t>Nilai Total</t>
  </si>
  <si>
    <t>95 X 20% =19</t>
  </si>
  <si>
    <t>95 X 25% = 24</t>
  </si>
  <si>
    <t>NILAI  : 93,5</t>
  </si>
  <si>
    <t>Nilai Murni X Prosentasi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</si>
</sst>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6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8" fillId="0" borderId="0" xfId="0" applyFont="1" applyAlignment="1">
      <alignment horizontal="left"/>
    </xf>
    <xf numFmtId="49" fontId="1" fillId="0" borderId="2" xfId="0" applyNumberFormat="1" applyFont="1" applyBorder="1"/>
    <xf numFmtId="49" fontId="6" fillId="0" borderId="2" xfId="0" applyNumberFormat="1" applyFont="1" applyBorder="1"/>
    <xf numFmtId="0" fontId="8" fillId="0" borderId="1" xfId="0" applyFont="1" applyBorder="1"/>
    <xf numFmtId="49" fontId="3" fillId="0" borderId="2" xfId="0" applyNumberFormat="1" applyFont="1" applyBorder="1" applyAlignment="1">
      <alignment horizontal="center"/>
    </xf>
    <xf numFmtId="0" fontId="7" fillId="0" borderId="2" xfId="0" applyFont="1" applyBorder="1"/>
    <xf numFmtId="0" fontId="10" fillId="0" borderId="0" xfId="0" applyFont="1"/>
    <xf numFmtId="0" fontId="2" fillId="0" borderId="2" xfId="0" applyFont="1" applyBorder="1"/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/>
    <xf numFmtId="0" fontId="11" fillId="0" borderId="0" xfId="0" applyFont="1"/>
    <xf numFmtId="49" fontId="1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49" fontId="3" fillId="0" borderId="2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7" xfId="0" applyFont="1" applyBorder="1"/>
    <xf numFmtId="0" fontId="0" fillId="0" borderId="8" xfId="0" applyBorder="1"/>
    <xf numFmtId="0" fontId="8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FA-C10F-4155-A309-FBFCE8EBFF48}">
  <dimension ref="A1:H15"/>
  <sheetViews>
    <sheetView tabSelected="1" topLeftCell="G1" zoomScale="165" zoomScaleNormal="165" workbookViewId="0">
      <selection activeCell="H16" sqref="H16"/>
    </sheetView>
  </sheetViews>
  <sheetFormatPr defaultColWidth="8.875" defaultRowHeight="11.25" x14ac:dyDescent="0.15"/>
  <cols>
    <col min="1" max="1" width="3.2265625" style="1" customWidth="1"/>
    <col min="2" max="8" width="14.9296875" style="1" customWidth="1"/>
    <col min="9" max="16384" width="8.875" style="1"/>
  </cols>
  <sheetData>
    <row r="1" spans="1:8" x14ac:dyDescent="0.15">
      <c r="A1" s="43" t="s">
        <v>0</v>
      </c>
      <c r="B1" s="43"/>
      <c r="C1" s="43"/>
      <c r="D1" s="43"/>
      <c r="E1" s="43"/>
      <c r="F1" s="43"/>
      <c r="G1" s="43"/>
      <c r="H1" s="43"/>
    </row>
    <row r="2" spans="1:8" ht="12" thickBot="1" x14ac:dyDescent="0.2"/>
    <row r="3" spans="1:8" ht="12" thickBot="1" x14ac:dyDescent="0.2">
      <c r="A3" s="3" t="s">
        <v>49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44</v>
      </c>
      <c r="G3" s="3"/>
      <c r="H3" s="3" t="s">
        <v>47</v>
      </c>
    </row>
    <row r="4" spans="1:8" ht="55.15" customHeight="1" thickBot="1" x14ac:dyDescent="0.2">
      <c r="A4" s="2"/>
      <c r="B4" s="4" t="s">
        <v>19</v>
      </c>
      <c r="C4" s="5" t="s">
        <v>24</v>
      </c>
      <c r="D4" s="5" t="s">
        <v>29</v>
      </c>
      <c r="E4" s="5" t="s">
        <v>34</v>
      </c>
      <c r="F4" s="15" t="s">
        <v>52</v>
      </c>
      <c r="G4" s="5"/>
      <c r="H4" s="13" t="s">
        <v>48</v>
      </c>
    </row>
    <row r="5" spans="1:8" x14ac:dyDescent="0.15">
      <c r="F5" s="14"/>
    </row>
    <row r="6" spans="1:8" ht="12" thickBot="1" x14ac:dyDescent="0.2">
      <c r="A6" s="44" t="s">
        <v>5</v>
      </c>
      <c r="B6" s="44"/>
      <c r="C6" s="44"/>
      <c r="D6" s="44"/>
      <c r="E6" s="44"/>
      <c r="F6" s="44"/>
      <c r="G6" s="44"/>
      <c r="H6" s="44"/>
    </row>
    <row r="7" spans="1:8" s="12" customFormat="1" ht="12" thickBot="1" x14ac:dyDescent="0.2">
      <c r="A7" s="3" t="s">
        <v>50</v>
      </c>
      <c r="B7" s="3" t="s">
        <v>6</v>
      </c>
      <c r="C7" s="3" t="s">
        <v>7</v>
      </c>
      <c r="D7" s="3" t="s">
        <v>8</v>
      </c>
      <c r="E7" s="11" t="s">
        <v>1</v>
      </c>
      <c r="F7" s="11" t="s">
        <v>2</v>
      </c>
      <c r="G7" s="3" t="s">
        <v>3</v>
      </c>
      <c r="H7" s="11" t="s">
        <v>4</v>
      </c>
    </row>
    <row r="8" spans="1:8" ht="50.25" thickBot="1" x14ac:dyDescent="0.2">
      <c r="A8" s="2"/>
      <c r="B8" s="6" t="s">
        <v>9</v>
      </c>
      <c r="C8" s="11" t="s">
        <v>10</v>
      </c>
      <c r="D8" s="7" t="s">
        <v>11</v>
      </c>
      <c r="E8" s="5" t="s">
        <v>20</v>
      </c>
      <c r="F8" s="4" t="s">
        <v>25</v>
      </c>
      <c r="G8" s="4" t="s">
        <v>30</v>
      </c>
      <c r="H8" s="4" t="s">
        <v>35</v>
      </c>
    </row>
    <row r="9" spans="1:8" ht="40.5" thickBot="1" x14ac:dyDescent="0.2">
      <c r="A9" s="2"/>
      <c r="B9" s="6" t="s">
        <v>12</v>
      </c>
      <c r="C9" s="11" t="s">
        <v>13</v>
      </c>
      <c r="D9" s="5" t="s">
        <v>14</v>
      </c>
      <c r="E9" s="5" t="s">
        <v>21</v>
      </c>
      <c r="F9" s="5" t="s">
        <v>26</v>
      </c>
      <c r="G9" s="4" t="s">
        <v>31</v>
      </c>
      <c r="H9" s="4" t="s">
        <v>36</v>
      </c>
    </row>
    <row r="10" spans="1:8" ht="40.5" thickBot="1" x14ac:dyDescent="0.2">
      <c r="A10" s="2"/>
      <c r="B10" s="6" t="s">
        <v>15</v>
      </c>
      <c r="C10" s="11" t="s">
        <v>46</v>
      </c>
      <c r="D10" s="5" t="s">
        <v>16</v>
      </c>
      <c r="E10" s="8" t="s">
        <v>22</v>
      </c>
      <c r="F10" s="4" t="s">
        <v>27</v>
      </c>
      <c r="G10" s="4" t="s">
        <v>32</v>
      </c>
      <c r="H10" s="4" t="s">
        <v>37</v>
      </c>
    </row>
    <row r="11" spans="1:8" ht="40.5" thickBot="1" x14ac:dyDescent="0.2">
      <c r="A11" s="2"/>
      <c r="B11" s="6" t="s">
        <v>17</v>
      </c>
      <c r="C11" s="11" t="s">
        <v>45</v>
      </c>
      <c r="D11" s="4" t="s">
        <v>18</v>
      </c>
      <c r="E11" s="9" t="s">
        <v>23</v>
      </c>
      <c r="F11" s="10" t="s">
        <v>28</v>
      </c>
      <c r="G11" s="4" t="s">
        <v>33</v>
      </c>
      <c r="H11" s="10" t="s">
        <v>38</v>
      </c>
    </row>
    <row r="12" spans="1:8" x14ac:dyDescent="0.15">
      <c r="A12" s="1">
        <v>1</v>
      </c>
      <c r="B12" s="12" t="s">
        <v>40</v>
      </c>
      <c r="C12" s="1" t="s">
        <v>19</v>
      </c>
    </row>
    <row r="13" spans="1:8" x14ac:dyDescent="0.15">
      <c r="A13" s="1">
        <v>2</v>
      </c>
      <c r="B13" s="12" t="s">
        <v>41</v>
      </c>
      <c r="C13" s="1" t="s">
        <v>24</v>
      </c>
    </row>
    <row r="14" spans="1:8" x14ac:dyDescent="0.15">
      <c r="A14" s="1">
        <v>3</v>
      </c>
      <c r="B14" s="12" t="s">
        <v>42</v>
      </c>
      <c r="C14" s="1" t="s">
        <v>29</v>
      </c>
    </row>
    <row r="15" spans="1:8" x14ac:dyDescent="0.15">
      <c r="A15" s="1">
        <v>4</v>
      </c>
      <c r="B15" s="12" t="s">
        <v>43</v>
      </c>
      <c r="C15" s="1" t="s">
        <v>34</v>
      </c>
    </row>
  </sheetData>
  <mergeCells count="2">
    <mergeCell ref="A1:H1"/>
    <mergeCell ref="A6:H6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A78E-FE86-41B0-B82A-B0E5394D7196}">
  <dimension ref="A1:K21"/>
  <sheetViews>
    <sheetView topLeftCell="A8" zoomScale="189" zoomScaleNormal="189" workbookViewId="0">
      <selection activeCell="D18" sqref="D18"/>
    </sheetView>
  </sheetViews>
  <sheetFormatPr defaultRowHeight="15" x14ac:dyDescent="0.2"/>
  <cols>
    <col min="1" max="1" width="2.95703125" customWidth="1"/>
    <col min="2" max="2" width="28.11328125" bestFit="1" customWidth="1"/>
    <col min="3" max="3" width="4.3046875" customWidth="1"/>
    <col min="4" max="4" width="28.515625" bestFit="1" customWidth="1"/>
    <col min="5" max="5" width="4.3046875" customWidth="1"/>
    <col min="6" max="6" width="30.265625" bestFit="1" customWidth="1"/>
    <col min="7" max="7" width="3.62890625" customWidth="1"/>
    <col min="8" max="8" width="27.3046875" bestFit="1" customWidth="1"/>
    <col min="9" max="9" width="4.03515625" customWidth="1"/>
    <col min="10" max="10" width="27.3046875" bestFit="1" customWidth="1"/>
    <col min="11" max="11" width="3.49609375" customWidth="1"/>
  </cols>
  <sheetData>
    <row r="1" spans="1:11" x14ac:dyDescent="0.2">
      <c r="A1" s="43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2">
      <c r="A2" s="16" t="s">
        <v>54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">
      <c r="A3" s="18" t="s">
        <v>55</v>
      </c>
      <c r="B3" s="19" t="s">
        <v>56</v>
      </c>
      <c r="C3" s="20" t="s">
        <v>57</v>
      </c>
      <c r="D3" s="19" t="s">
        <v>58</v>
      </c>
      <c r="E3" s="20" t="s">
        <v>59</v>
      </c>
      <c r="F3" s="19" t="s">
        <v>60</v>
      </c>
      <c r="G3" s="20" t="s">
        <v>61</v>
      </c>
      <c r="H3" s="19" t="s">
        <v>62</v>
      </c>
      <c r="I3" s="20" t="s">
        <v>59</v>
      </c>
      <c r="J3" s="19" t="s">
        <v>63</v>
      </c>
      <c r="K3" s="20" t="s">
        <v>64</v>
      </c>
    </row>
    <row r="4" spans="1:11" x14ac:dyDescent="0.2">
      <c r="A4" s="21"/>
      <c r="B4" s="21" t="s">
        <v>65</v>
      </c>
      <c r="C4" s="21"/>
      <c r="D4" s="21" t="s">
        <v>65</v>
      </c>
      <c r="E4" s="21"/>
      <c r="F4" s="21" t="s">
        <v>65</v>
      </c>
      <c r="G4" s="21"/>
      <c r="H4" s="21" t="s">
        <v>65</v>
      </c>
      <c r="I4" s="21"/>
      <c r="J4" s="21" t="s">
        <v>65</v>
      </c>
      <c r="K4" s="21"/>
    </row>
    <row r="5" spans="1:11" x14ac:dyDescent="0.2">
      <c r="A5" s="22">
        <v>1</v>
      </c>
      <c r="B5" s="21" t="s">
        <v>51</v>
      </c>
      <c r="C5" s="22"/>
      <c r="D5" s="21" t="s">
        <v>66</v>
      </c>
      <c r="E5" s="22"/>
      <c r="F5" s="21" t="s">
        <v>67</v>
      </c>
      <c r="G5" s="22"/>
      <c r="H5" s="21" t="s">
        <v>68</v>
      </c>
      <c r="I5" s="22"/>
      <c r="J5" s="21" t="s">
        <v>69</v>
      </c>
      <c r="K5" s="22"/>
    </row>
    <row r="6" spans="1:11" x14ac:dyDescent="0.2">
      <c r="A6" s="22">
        <v>2</v>
      </c>
      <c r="B6" s="21" t="s">
        <v>70</v>
      </c>
      <c r="C6" s="22"/>
      <c r="D6" s="21" t="s">
        <v>71</v>
      </c>
      <c r="E6" s="22"/>
      <c r="F6" s="21" t="s">
        <v>72</v>
      </c>
      <c r="G6" s="22"/>
      <c r="H6" s="21" t="s">
        <v>73</v>
      </c>
      <c r="I6" s="22"/>
      <c r="J6" s="21" t="s">
        <v>74</v>
      </c>
      <c r="K6" s="22"/>
    </row>
    <row r="7" spans="1:11" x14ac:dyDescent="0.2">
      <c r="A7" s="22">
        <v>3</v>
      </c>
      <c r="B7" s="21" t="s">
        <v>75</v>
      </c>
      <c r="C7" s="22"/>
      <c r="D7" s="21" t="s">
        <v>76</v>
      </c>
      <c r="E7" s="22"/>
      <c r="F7" s="21" t="s">
        <v>77</v>
      </c>
      <c r="G7" s="22"/>
      <c r="H7" s="21" t="s">
        <v>78</v>
      </c>
      <c r="I7" s="22"/>
      <c r="J7" s="21" t="s">
        <v>79</v>
      </c>
      <c r="K7" s="22"/>
    </row>
    <row r="8" spans="1:11" x14ac:dyDescent="0.2">
      <c r="A8" s="22">
        <v>4</v>
      </c>
      <c r="B8" s="21" t="s">
        <v>80</v>
      </c>
      <c r="C8" s="22"/>
      <c r="D8" s="21" t="s">
        <v>81</v>
      </c>
      <c r="E8" s="22"/>
      <c r="F8" s="21" t="s">
        <v>82</v>
      </c>
      <c r="G8" s="22"/>
      <c r="H8" s="21" t="s">
        <v>83</v>
      </c>
      <c r="I8" s="22"/>
      <c r="J8" s="21" t="s">
        <v>84</v>
      </c>
      <c r="K8" s="22"/>
    </row>
    <row r="9" spans="1:11" x14ac:dyDescent="0.2">
      <c r="A9" s="22">
        <v>5</v>
      </c>
      <c r="B9" s="21" t="s">
        <v>85</v>
      </c>
      <c r="C9" s="22"/>
      <c r="D9" s="21" t="s">
        <v>86</v>
      </c>
      <c r="E9" s="22"/>
      <c r="F9" s="21" t="s">
        <v>80</v>
      </c>
      <c r="G9" s="22"/>
      <c r="H9" s="21" t="s">
        <v>87</v>
      </c>
      <c r="I9" s="22"/>
      <c r="J9" s="21" t="s">
        <v>88</v>
      </c>
      <c r="K9" s="22"/>
    </row>
    <row r="10" spans="1:11" s="1" customFormat="1" ht="11.25" x14ac:dyDescent="0.15">
      <c r="A10" s="38"/>
      <c r="B10" s="38" t="s">
        <v>89</v>
      </c>
      <c r="C10" s="38">
        <v>90</v>
      </c>
      <c r="D10" s="38"/>
      <c r="E10" s="38">
        <v>95</v>
      </c>
      <c r="F10" s="38"/>
      <c r="G10" s="38">
        <v>95</v>
      </c>
      <c r="H10" s="38"/>
      <c r="I10" s="38">
        <v>95</v>
      </c>
      <c r="J10" s="38"/>
      <c r="K10" s="38">
        <v>95</v>
      </c>
    </row>
    <row r="11" spans="1:11" s="1" customFormat="1" ht="11.25" x14ac:dyDescent="0.15">
      <c r="A11" s="38"/>
      <c r="B11" s="33" t="s">
        <v>113</v>
      </c>
      <c r="C11" s="12" t="s">
        <v>91</v>
      </c>
      <c r="D11" s="12"/>
      <c r="E11" s="12" t="s">
        <v>110</v>
      </c>
      <c r="F11" s="12"/>
      <c r="G11" s="12" t="s">
        <v>111</v>
      </c>
      <c r="H11" s="12"/>
      <c r="I11" s="12" t="s">
        <v>92</v>
      </c>
      <c r="J11" s="39"/>
      <c r="K11" s="12" t="s">
        <v>93</v>
      </c>
    </row>
    <row r="12" spans="1:11" x14ac:dyDescent="0.2">
      <c r="A12" s="18"/>
      <c r="B12" s="16" t="s">
        <v>112</v>
      </c>
      <c r="C12" s="16"/>
      <c r="D12" s="16"/>
      <c r="E12" s="16"/>
      <c r="F12" s="16"/>
      <c r="G12" s="16"/>
      <c r="H12" s="16"/>
      <c r="I12" s="16"/>
      <c r="J12" s="23"/>
      <c r="K12" s="16"/>
    </row>
    <row r="13" spans="1:11" x14ac:dyDescent="0.2">
      <c r="A13" s="18" t="s">
        <v>94</v>
      </c>
      <c r="B13" s="21"/>
      <c r="C13" s="19" t="s">
        <v>39</v>
      </c>
      <c r="D13" s="21"/>
      <c r="E13" s="21"/>
      <c r="F13" s="21"/>
      <c r="G13" s="21"/>
      <c r="H13" s="21"/>
      <c r="I13" s="21"/>
      <c r="J13" s="21"/>
      <c r="K13" s="21"/>
    </row>
    <row r="14" spans="1:11" x14ac:dyDescent="0.2">
      <c r="A14" s="21"/>
      <c r="B14" s="21" t="s">
        <v>95</v>
      </c>
      <c r="C14" s="36" t="s">
        <v>96</v>
      </c>
      <c r="D14" s="21"/>
      <c r="E14" s="24"/>
      <c r="F14" s="21"/>
      <c r="G14" s="25"/>
      <c r="H14" s="21"/>
      <c r="I14" s="25"/>
      <c r="J14" s="21"/>
      <c r="K14" s="25"/>
    </row>
    <row r="15" spans="1:11" x14ac:dyDescent="0.2">
      <c r="A15" s="21"/>
      <c r="B15" s="21" t="s">
        <v>97</v>
      </c>
      <c r="C15" s="36" t="s">
        <v>98</v>
      </c>
      <c r="D15" s="21"/>
      <c r="E15" s="24"/>
      <c r="F15" s="21"/>
      <c r="G15" s="25"/>
      <c r="H15" s="21"/>
      <c r="I15" s="25"/>
      <c r="J15" s="21"/>
      <c r="K15" s="25"/>
    </row>
    <row r="16" spans="1:11" x14ac:dyDescent="0.2">
      <c r="A16" s="21"/>
      <c r="B16" s="21" t="s">
        <v>108</v>
      </c>
      <c r="C16" s="36" t="s">
        <v>99</v>
      </c>
      <c r="D16" s="21"/>
      <c r="E16" s="24"/>
      <c r="F16" s="21"/>
      <c r="G16" s="25"/>
      <c r="H16" s="21"/>
      <c r="I16" s="25"/>
      <c r="J16" s="21"/>
      <c r="K16" s="25"/>
    </row>
    <row r="17" spans="1:11" x14ac:dyDescent="0.2">
      <c r="A17" s="21"/>
      <c r="B17" s="21" t="s">
        <v>100</v>
      </c>
      <c r="C17" s="37" t="s">
        <v>101</v>
      </c>
      <c r="D17" s="21"/>
      <c r="E17" s="24"/>
      <c r="F17" s="21"/>
      <c r="G17" s="25"/>
      <c r="H17" s="21"/>
      <c r="I17" s="25"/>
      <c r="J17" s="21"/>
      <c r="K17" s="25"/>
    </row>
    <row r="18" spans="1:11" ht="15.75" thickBot="1" x14ac:dyDescent="0.25">
      <c r="A18" s="16" t="s">
        <v>102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">
      <c r="A19" s="17" t="s">
        <v>103</v>
      </c>
      <c r="B19" s="17"/>
      <c r="C19" s="17"/>
      <c r="D19" s="17"/>
      <c r="E19" s="17"/>
      <c r="F19" s="17"/>
      <c r="G19" s="17"/>
      <c r="H19" s="17"/>
      <c r="I19" s="45" t="s">
        <v>104</v>
      </c>
      <c r="J19" s="47">
        <v>93.5</v>
      </c>
      <c r="K19" s="17"/>
    </row>
    <row r="20" spans="1:11" ht="15.75" thickBot="1" x14ac:dyDescent="0.25">
      <c r="A20" s="17" t="s">
        <v>105</v>
      </c>
      <c r="B20" s="17"/>
      <c r="C20" s="17"/>
      <c r="D20" s="17"/>
      <c r="E20" s="17"/>
      <c r="F20" s="17"/>
      <c r="G20" s="17"/>
      <c r="H20" s="17"/>
      <c r="I20" s="46"/>
      <c r="J20" s="48"/>
      <c r="K20" s="17"/>
    </row>
    <row r="21" spans="1:11" ht="15.75" thickBot="1" x14ac:dyDescent="0.25">
      <c r="A21" s="17" t="s">
        <v>106</v>
      </c>
      <c r="B21" s="17"/>
      <c r="C21" s="17"/>
      <c r="D21" s="17"/>
      <c r="E21" s="17"/>
      <c r="F21" s="17"/>
      <c r="G21" s="17"/>
      <c r="H21" s="17"/>
      <c r="I21" s="26" t="s">
        <v>107</v>
      </c>
      <c r="J21" s="26"/>
      <c r="K21" s="17"/>
    </row>
  </sheetData>
  <mergeCells count="3">
    <mergeCell ref="A1:K1"/>
    <mergeCell ref="I19:I20"/>
    <mergeCell ref="J19:J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0C98-052D-4C9D-8BB5-0C89CD839BED}">
  <dimension ref="A1:K17"/>
  <sheetViews>
    <sheetView topLeftCell="C4" zoomScale="155" zoomScaleNormal="155" workbookViewId="0">
      <selection activeCell="D16" sqref="D16"/>
    </sheetView>
  </sheetViews>
  <sheetFormatPr defaultRowHeight="15" x14ac:dyDescent="0.2"/>
  <cols>
    <col min="1" max="1" width="2.82421875" customWidth="1"/>
    <col min="2" max="2" width="26.6328125" customWidth="1"/>
    <col min="3" max="3" width="3.765625" customWidth="1"/>
    <col min="4" max="4" width="27.3046875" customWidth="1"/>
    <col min="5" max="5" width="3.765625" customWidth="1"/>
    <col min="6" max="6" width="28.11328125" customWidth="1"/>
    <col min="7" max="7" width="3.62890625" customWidth="1"/>
    <col min="8" max="8" width="25.2890625" customWidth="1"/>
    <col min="9" max="9" width="4.4375" customWidth="1"/>
    <col min="10" max="10" width="25.55859375" customWidth="1"/>
    <col min="11" max="11" width="4.16796875" customWidth="1"/>
  </cols>
  <sheetData>
    <row r="1" spans="1:11" x14ac:dyDescent="0.2">
      <c r="A1" s="43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2">
      <c r="A2" s="16" t="s">
        <v>54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">
      <c r="A3" s="18" t="s">
        <v>55</v>
      </c>
      <c r="B3" s="19" t="s">
        <v>56</v>
      </c>
      <c r="C3" s="27" t="s">
        <v>57</v>
      </c>
      <c r="D3" s="19" t="s">
        <v>58</v>
      </c>
      <c r="E3" s="27" t="s">
        <v>59</v>
      </c>
      <c r="F3" s="19" t="s">
        <v>60</v>
      </c>
      <c r="G3" s="27" t="s">
        <v>61</v>
      </c>
      <c r="H3" s="19" t="s">
        <v>62</v>
      </c>
      <c r="I3" s="27" t="s">
        <v>59</v>
      </c>
      <c r="J3" s="19" t="s">
        <v>63</v>
      </c>
      <c r="K3" s="27" t="s">
        <v>64</v>
      </c>
    </row>
    <row r="4" spans="1:11" s="29" customFormat="1" x14ac:dyDescent="0.2">
      <c r="A4" s="28"/>
      <c r="B4" s="28" t="s">
        <v>65</v>
      </c>
      <c r="C4" s="28"/>
      <c r="D4" s="28" t="s">
        <v>65</v>
      </c>
      <c r="E4" s="28"/>
      <c r="F4" s="28" t="s">
        <v>65</v>
      </c>
      <c r="G4" s="28"/>
      <c r="H4" s="28" t="s">
        <v>65</v>
      </c>
      <c r="I4" s="28"/>
      <c r="J4" s="28" t="s">
        <v>65</v>
      </c>
      <c r="K4" s="28"/>
    </row>
    <row r="5" spans="1:11" x14ac:dyDescent="0.2">
      <c r="A5" s="22">
        <v>1</v>
      </c>
      <c r="B5" s="21" t="s">
        <v>51</v>
      </c>
      <c r="C5" s="22"/>
      <c r="D5" s="21" t="s">
        <v>66</v>
      </c>
      <c r="E5" s="22"/>
      <c r="F5" s="21" t="s">
        <v>67</v>
      </c>
      <c r="G5" s="22"/>
      <c r="H5" s="21" t="s">
        <v>68</v>
      </c>
      <c r="I5" s="22"/>
      <c r="J5" s="21" t="s">
        <v>69</v>
      </c>
      <c r="K5" s="22"/>
    </row>
    <row r="6" spans="1:11" x14ac:dyDescent="0.2">
      <c r="A6" s="22">
        <v>2</v>
      </c>
      <c r="B6" s="21" t="s">
        <v>70</v>
      </c>
      <c r="C6" s="22"/>
      <c r="D6" s="21" t="s">
        <v>71</v>
      </c>
      <c r="E6" s="22"/>
      <c r="F6" s="21" t="s">
        <v>72</v>
      </c>
      <c r="G6" s="22"/>
      <c r="H6" s="21" t="s">
        <v>73</v>
      </c>
      <c r="I6" s="22"/>
      <c r="J6" s="21" t="s">
        <v>74</v>
      </c>
      <c r="K6" s="22"/>
    </row>
    <row r="7" spans="1:11" x14ac:dyDescent="0.2">
      <c r="A7" s="22">
        <v>3</v>
      </c>
      <c r="B7" s="21" t="s">
        <v>75</v>
      </c>
      <c r="C7" s="22"/>
      <c r="D7" s="21" t="s">
        <v>76</v>
      </c>
      <c r="E7" s="22"/>
      <c r="F7" s="21" t="s">
        <v>77</v>
      </c>
      <c r="G7" s="22"/>
      <c r="H7" s="21" t="s">
        <v>78</v>
      </c>
      <c r="I7" s="22"/>
      <c r="J7" s="21" t="s">
        <v>79</v>
      </c>
      <c r="K7" s="22"/>
    </row>
    <row r="8" spans="1:11" x14ac:dyDescent="0.2">
      <c r="A8" s="22">
        <v>4</v>
      </c>
      <c r="B8" s="21" t="s">
        <v>80</v>
      </c>
      <c r="C8" s="22"/>
      <c r="D8" s="21" t="s">
        <v>81</v>
      </c>
      <c r="E8" s="22"/>
      <c r="F8" s="21" t="s">
        <v>82</v>
      </c>
      <c r="G8" s="22"/>
      <c r="H8" s="21" t="s">
        <v>83</v>
      </c>
      <c r="I8" s="22"/>
      <c r="J8" s="21" t="s">
        <v>84</v>
      </c>
      <c r="K8" s="22"/>
    </row>
    <row r="9" spans="1:11" x14ac:dyDescent="0.2">
      <c r="A9" s="22">
        <v>5</v>
      </c>
      <c r="B9" s="21" t="s">
        <v>85</v>
      </c>
      <c r="C9" s="22"/>
      <c r="D9" s="21" t="s">
        <v>86</v>
      </c>
      <c r="E9" s="22"/>
      <c r="F9" s="21" t="s">
        <v>80</v>
      </c>
      <c r="G9" s="22"/>
      <c r="H9" s="21" t="s">
        <v>87</v>
      </c>
      <c r="I9" s="22"/>
      <c r="J9" s="21" t="s">
        <v>88</v>
      </c>
      <c r="K9" s="22"/>
    </row>
    <row r="10" spans="1:1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s="1" customFormat="1" ht="11.25" x14ac:dyDescent="0.15">
      <c r="A11" s="30"/>
      <c r="B11" s="30" t="s">
        <v>89</v>
      </c>
      <c r="C11" s="31">
        <v>90</v>
      </c>
      <c r="D11" s="30" t="s">
        <v>89</v>
      </c>
      <c r="E11" s="31">
        <v>95</v>
      </c>
      <c r="F11" s="30" t="s">
        <v>89</v>
      </c>
      <c r="G11" s="31">
        <v>95</v>
      </c>
      <c r="H11" s="30" t="s">
        <v>89</v>
      </c>
      <c r="I11" s="31">
        <v>95</v>
      </c>
      <c r="J11" s="30" t="s">
        <v>89</v>
      </c>
      <c r="K11" s="31">
        <v>95</v>
      </c>
    </row>
    <row r="12" spans="1:11" s="35" customFormat="1" x14ac:dyDescent="0.2">
      <c r="A12" s="32"/>
      <c r="B12" s="33" t="s">
        <v>90</v>
      </c>
      <c r="C12" s="34">
        <f>SUM(C11*C3)</f>
        <v>27</v>
      </c>
      <c r="D12" s="32"/>
      <c r="E12" s="34">
        <f>SUM(E11*E3)</f>
        <v>19</v>
      </c>
      <c r="F12" s="32"/>
      <c r="G12" s="34">
        <f>SUM(G11*G3)</f>
        <v>23.75</v>
      </c>
      <c r="H12" s="32"/>
      <c r="I12" s="34">
        <f>SUM(I11*I3)</f>
        <v>19</v>
      </c>
      <c r="J12" s="32"/>
      <c r="K12" s="34">
        <f>SUM(K11*K3)</f>
        <v>4.75</v>
      </c>
    </row>
    <row r="13" spans="1:11" x14ac:dyDescent="0.2">
      <c r="A13" s="16" t="s">
        <v>102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5.75" thickBot="1" x14ac:dyDescent="0.25">
      <c r="A14" s="17" t="s">
        <v>103</v>
      </c>
      <c r="B14" s="17"/>
      <c r="C14" s="17"/>
      <c r="D14" s="17"/>
      <c r="E14" s="17"/>
      <c r="F14" s="17"/>
      <c r="G14" s="17"/>
      <c r="H14" s="17"/>
      <c r="I14" s="17"/>
      <c r="J14" s="23"/>
      <c r="K14" s="17"/>
    </row>
    <row r="15" spans="1:11" x14ac:dyDescent="0.2">
      <c r="A15" s="17" t="s">
        <v>105</v>
      </c>
      <c r="B15" s="17"/>
      <c r="C15" s="17"/>
      <c r="D15" s="17"/>
      <c r="E15" s="17"/>
      <c r="F15" s="17"/>
      <c r="G15" s="17"/>
      <c r="H15" s="17"/>
      <c r="I15" s="49"/>
      <c r="J15" s="50">
        <f>SUM(A12:K12)</f>
        <v>93.5</v>
      </c>
      <c r="K15" s="52" t="s">
        <v>109</v>
      </c>
    </row>
    <row r="16" spans="1:11" ht="15.75" thickBot="1" x14ac:dyDescent="0.25">
      <c r="A16" s="17" t="s">
        <v>106</v>
      </c>
      <c r="B16" s="16"/>
      <c r="C16" s="17"/>
      <c r="D16" s="17"/>
      <c r="E16" s="17"/>
      <c r="F16" s="17"/>
      <c r="G16" s="17"/>
      <c r="H16" s="17"/>
      <c r="I16" s="49"/>
      <c r="J16" s="51"/>
      <c r="K16" s="53"/>
    </row>
    <row r="17" spans="9:11" ht="15.75" thickBot="1" x14ac:dyDescent="0.25">
      <c r="I17" s="42"/>
      <c r="J17" s="40" t="s">
        <v>107</v>
      </c>
      <c r="K17" s="41"/>
    </row>
  </sheetData>
  <mergeCells count="4">
    <mergeCell ref="A1:K1"/>
    <mergeCell ref="I15:I16"/>
    <mergeCell ref="J15:J16"/>
    <mergeCell ref="K15:K16"/>
  </mergeCells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Explain</vt:lpstr>
      <vt:lpstr>Example</vt:lpstr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Waraney Imon</dc:creator>
  <cp:lastModifiedBy>Waraney Imon</cp:lastModifiedBy>
  <cp:lastPrinted>2026-07-20T02:22:34Z</cp:lastPrinted>
  <dcterms:created xsi:type="dcterms:W3CDTF">2026-07-01T06:42:49Z</dcterms:created>
  <dcterms:modified xsi:type="dcterms:W3CDTF">2026-07-20T02:29:59Z</dcterms:modified>
</cp:coreProperties>
</file>